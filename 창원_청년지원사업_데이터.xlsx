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작성안내" sheetId="1" state="visible" r:id="rId3"/>
    <sheet name="사업목록" sheetId="2" state="visible" r:id="rId4"/>
  </sheets>
  <definedNames>
    <definedName function="false" hidden="true" localSheetId="1" name="_xlnm._FilterDatabase" vbProcedure="false">사업목록!$A$1:$X$12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<sst xmlns="http://schemas.openxmlformats.org/spreadsheetml/2006/main" count="260" uniqueCount="182">
  <si>
    <t xml:space="preserve">창원 청년 지원사업 데이터 정리표</t>
  </si>
  <si>
    <t xml:space="preserve">작성 목적</t>
  </si>
  <si>
    <r>
      <rPr>
        <sz val="10"/>
        <rFont val="Arial"/>
        <family val="0"/>
        <charset val="1"/>
      </rPr>
      <t xml:space="preserve">PRD v0.3 '</t>
    </r>
    <r>
      <rPr>
        <sz val="10"/>
        <rFont val="Noto Sans CJK SC"/>
        <family val="2"/>
      </rPr>
      <t xml:space="preserve">데이터 준비 계획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에 따라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회차 전까지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건 이상 정리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이준호 선생님 과제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번</t>
    </r>
    <r>
      <rPr>
        <sz val="10"/>
        <rFont val="Arial"/>
        <family val="0"/>
        <charset val="1"/>
      </rPr>
      <t xml:space="preserve">)</t>
    </r>
  </si>
  <si>
    <t xml:space="preserve">범위</t>
  </si>
  <si>
    <t xml:space="preserve">창원특례시(시·구)가 주관하는 사업만 포함. 경남도·정부 주관 사업은 제외(온통청년 API zipCd=48120,48121,48123,48125,48127,48129와 동일 범위)</t>
  </si>
  <si>
    <t xml:space="preserve">현재 상태</t>
  </si>
  <si>
    <t xml:space="preserve">창원시 사업 11건(2026-10-30 기준). 공고 대조 완료 4건(CW-005, 006, 008, 010), 부분 확인 2건(CW-002, 004), 나머지 5건은 1차 수집(웹 검색 기반). '부분 확인'은 공식 공고 원문을 끝까지 보지 못한 경우. 1차 수집 행은 공식 공고와 대조한 뒤 '공고 대조 완료'로 바꿀 것</t>
  </si>
  <si>
    <t xml:space="preserve">■ 색상 규칙</t>
  </si>
  <si>
    <t xml:space="preserve">노란 칸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</si>
  <si>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확인 필요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또는 비어 있는 핵심 값 → 공식 공고에서 채워야 하는 칸</t>
    </r>
  </si>
  <si>
    <t xml:space="preserve">모집상태(자동)</t>
  </si>
  <si>
    <t xml:space="preserve">수식 칸. 직접 입력하지 말 것. 상시여부=Y면 '모집중(상시)', 마감일이 오늘 이후면 '모집중', 지났으면 '마감'</t>
  </si>
  <si>
    <t xml:space="preserve">■ 칸 작성 규칙(코드에서 바로 읽을 수 있게)</t>
  </si>
  <si>
    <t xml:space="preserve">최소/최대나이</t>
  </si>
  <si>
    <t xml:space="preserve">숫자만(만 나이). 예외 연령(제대군인 등)은 '기타조건'에</t>
  </si>
  <si>
    <t xml:space="preserve">거주지조건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</si>
  <si>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창원시 주민등록</t>
    </r>
    <r>
      <rPr>
        <sz val="10"/>
        <rFont val="Arial"/>
        <family val="0"/>
        <charset val="1"/>
      </rPr>
      <t xml:space="preserve">', '</t>
    </r>
    <r>
      <rPr>
        <sz val="10"/>
        <rFont val="Noto Sans CJK SC"/>
        <family val="2"/>
      </rPr>
      <t xml:space="preserve">경남 주민등록</t>
    </r>
    <r>
      <rPr>
        <sz val="10"/>
        <rFont val="Arial"/>
        <family val="0"/>
        <charset val="1"/>
      </rPr>
      <t xml:space="preserve">', '</t>
    </r>
    <r>
      <rPr>
        <sz val="10"/>
        <rFont val="Noto Sans CJK SC"/>
        <family val="2"/>
      </rPr>
      <t xml:space="preserve">전국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등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특정 구만 대상이면 구 이름 나열</t>
    </r>
  </si>
  <si>
    <t xml:space="preserve">상태조건</t>
  </si>
  <si>
    <r>
      <rPr>
        <sz val="10"/>
        <rFont val="Arial"/>
        <family val="0"/>
        <charset val="1"/>
      </rPr>
      <t xml:space="preserve">PRD </t>
    </r>
    <r>
      <rPr>
        <sz val="10"/>
        <rFont val="Noto Sans CJK SC"/>
        <family val="2"/>
      </rPr>
      <t xml:space="preserve">입력값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구직 중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재직 중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창업 준비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학생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단어를 포함해 작성</t>
    </r>
  </si>
  <si>
    <t xml:space="preserve">가구소득조건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</si>
  <si>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중위 </t>
    </r>
    <r>
      <rPr>
        <sz val="10"/>
        <rFont val="Arial"/>
        <family val="0"/>
        <charset val="1"/>
      </rPr>
      <t xml:space="preserve">N% </t>
    </r>
    <r>
      <rPr>
        <sz val="10"/>
        <rFont val="Noto Sans CJK SC"/>
        <family val="2"/>
      </rPr>
      <t xml:space="preserve">이하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형식 유지 → 판정 코드에서 숫자 추출</t>
    </r>
  </si>
  <si>
    <t xml:space="preserve">기타조건</t>
  </si>
  <si>
    <t xml:space="preserve">재산 기준, 중복 수혜 제한 등 입력 8개로 판단할 수 없는 조건 → '해당 가능성 있음(확인 필요)' 판정에 사용</t>
  </si>
  <si>
    <t xml:space="preserve">신청시작/마감</t>
  </si>
  <si>
    <t xml:space="preserve">날짜 형식(YYYY-MM-DD). 예산 소진 시 마감처럼 날짜가 없으면 마감 비우고 상시여부=Y</t>
  </si>
  <si>
    <t xml:space="preserve">출처링크(공식)</t>
  </si>
  <si>
    <t xml:space="preserve">시청·도청·부처 공고 원문 링크. 결과 화면 '공식 공고 보기'에 사용</t>
  </si>
  <si>
    <t xml:space="preserve">참고링크(2차 자료)</t>
  </si>
  <si>
    <t xml:space="preserve">웰로·기사 등. 화면에는 쓰지 말고 확인용으로만</t>
  </si>
  <si>
    <t xml:space="preserve">확인일</t>
  </si>
  <si>
    <t xml:space="preserve">공식 공고와 마지막으로 대조한 날짜 → 결과 화면 '데이터 기준일'</t>
  </si>
  <si>
    <t xml:space="preserve">■ 정리하면서 발견한 점</t>
  </si>
  <si>
    <r>
      <rPr>
        <b val="true"/>
        <sz val="10"/>
        <rFont val="Arial"/>
        <family val="0"/>
        <charset val="1"/>
      </rPr>
      <t xml:space="preserve">1. </t>
    </r>
    <r>
      <rPr>
        <b val="true"/>
        <sz val="10"/>
        <rFont val="Noto Sans CJK SC"/>
        <family val="2"/>
      </rPr>
      <t xml:space="preserve">마감된 사업이 많음</t>
    </r>
  </si>
  <si>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일 기준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건 중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건만 모집 중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전세보증료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건은 마감일 확인 필요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창원시 사업 대부분이 </t>
    </r>
    <r>
      <rPr>
        <sz val="10"/>
        <rFont val="Arial"/>
        <family val="0"/>
        <charset val="1"/>
      </rPr>
      <t xml:space="preserve">1~3</t>
    </r>
    <r>
      <rPr>
        <sz val="10"/>
        <rFont val="Noto Sans CJK SC"/>
        <family val="2"/>
      </rPr>
      <t xml:space="preserve">월에 공고됨 → 데모용 데이터 확보 방안 필요</t>
    </r>
  </si>
  <si>
    <r>
      <rPr>
        <b val="true"/>
        <sz val="10"/>
        <rFont val="Arial"/>
        <family val="0"/>
        <charset val="1"/>
      </rPr>
      <t xml:space="preserve">2. </t>
    </r>
    <r>
      <rPr>
        <b val="true"/>
        <sz val="10"/>
        <rFont val="Noto Sans CJK SC"/>
        <family val="2"/>
      </rPr>
      <t xml:space="preserve">교통 분야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건</t>
    </r>
  </si>
  <si>
    <t xml:space="preserve">창원시 주관 교통 사업을 찾지 못함(교통비 지원은 경남도 '경남패스'). PRD 관심 분야에서 '교통'을 뺄지, 경남도 사업을 예외로 넣을지 결정 필요</t>
  </si>
  <si>
    <r>
      <rPr>
        <b val="true"/>
        <sz val="10"/>
        <rFont val="Arial"/>
        <family val="0"/>
        <charset val="1"/>
      </rPr>
      <t xml:space="preserve">3. 2</t>
    </r>
    <r>
      <rPr>
        <b val="true"/>
        <sz val="10"/>
        <rFont val="Noto Sans CJK SC"/>
        <family val="2"/>
      </rPr>
      <t xml:space="preserve">차 자료 의존</t>
    </r>
  </si>
  <si>
    <t xml:space="preserve">창원시청 공고 페이지는 자동 조회가 잘 안 되어 웰로·기사로 1차 수집함. 공고 원문 확인 필수</t>
  </si>
  <si>
    <r>
      <rPr>
        <b val="true"/>
        <sz val="10"/>
        <rFont val="Arial"/>
        <family val="0"/>
        <charset val="1"/>
      </rPr>
      <t xml:space="preserve">4. </t>
    </r>
    <r>
      <rPr>
        <b val="true"/>
        <sz val="10"/>
        <rFont val="Noto Sans CJK SC"/>
        <family val="2"/>
      </rPr>
      <t xml:space="preserve">입력으로 판단 불가한 거주 조건</t>
    </r>
  </si>
  <si>
    <r>
      <rPr>
        <sz val="10"/>
        <rFont val="Arial"/>
        <family val="0"/>
        <charset val="1"/>
      </rPr>
      <t xml:space="preserve">'1</t>
    </r>
    <r>
      <rPr>
        <sz val="10"/>
        <rFont val="Noto Sans CJK SC"/>
        <family val="2"/>
      </rPr>
      <t xml:space="preserve">년 이상 거주</t>
    </r>
    <r>
      <rPr>
        <sz val="10"/>
        <rFont val="Arial"/>
        <family val="0"/>
        <charset val="1"/>
      </rPr>
      <t xml:space="preserve">'(</t>
    </r>
    <r>
      <rPr>
        <sz val="10"/>
        <rFont val="Noto Sans CJK SC"/>
        <family val="2"/>
      </rPr>
      <t xml:space="preserve">응시료</t>
    </r>
    <r>
      <rPr>
        <sz val="10"/>
        <rFont val="Arial"/>
        <family val="0"/>
        <charset val="1"/>
      </rPr>
      <t xml:space="preserve">), '</t>
    </r>
    <r>
      <rPr>
        <sz val="10"/>
        <rFont val="Noto Sans CJK SC"/>
        <family val="2"/>
      </rPr>
      <t xml:space="preserve">타 시군에서 전입</t>
    </r>
    <r>
      <rPr>
        <sz val="10"/>
        <rFont val="Arial"/>
        <family val="0"/>
        <charset val="1"/>
      </rPr>
      <t xml:space="preserve">'(</t>
    </r>
    <r>
      <rPr>
        <sz val="10"/>
        <rFont val="Noto Sans CJK SC"/>
        <family val="2"/>
      </rPr>
      <t xml:space="preserve">대학생 지원금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은 </t>
    </r>
    <r>
      <rPr>
        <sz val="10"/>
        <rFont val="Arial"/>
        <family val="0"/>
        <charset val="1"/>
      </rPr>
      <t xml:space="preserve">PRD </t>
    </r>
    <r>
      <rPr>
        <sz val="10"/>
        <rFont val="Noto Sans CJK SC"/>
        <family val="2"/>
      </rPr>
      <t xml:space="preserve">입력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개로 판단 불가 →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확인 필요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판정</t>
    </r>
  </si>
  <si>
    <t xml:space="preserve">ID</t>
  </si>
  <si>
    <t xml:space="preserve">사업명</t>
  </si>
  <si>
    <t xml:space="preserve">주관기관</t>
  </si>
  <si>
    <t xml:space="preserve">분야</t>
  </si>
  <si>
    <t xml:space="preserve">최소나이</t>
  </si>
  <si>
    <t xml:space="preserve">최대나이</t>
  </si>
  <si>
    <t xml:space="preserve">본인소득조건</t>
  </si>
  <si>
    <t xml:space="preserve">주거조건</t>
  </si>
  <si>
    <t xml:space="preserve">기타조건(입력으로 판단 불가)</t>
  </si>
  <si>
    <t xml:space="preserve">지원내용</t>
  </si>
  <si>
    <t xml:space="preserve">신청시작</t>
  </si>
  <si>
    <t xml:space="preserve">신청마감</t>
  </si>
  <si>
    <t xml:space="preserve">상시여부</t>
  </si>
  <si>
    <t xml:space="preserve">신청방법</t>
  </si>
  <si>
    <t xml:space="preserve">필요서류</t>
  </si>
  <si>
    <t xml:space="preserve">검증상태</t>
  </si>
  <si>
    <t xml:space="preserve">비고</t>
  </si>
  <si>
    <t xml:space="preserve">CW-001</t>
  </si>
  <si>
    <t xml:space="preserve">창원시 청년월세 지원사업</t>
  </si>
  <si>
    <t xml:space="preserve">창원특례시</t>
  </si>
  <si>
    <t xml:space="preserve">주거</t>
  </si>
  <si>
    <t xml:space="preserve">창원시 주민등록</t>
  </si>
  <si>
    <t xml:space="preserve">제한 없음</t>
  </si>
  <si>
    <t xml:space="preserve">-</t>
  </si>
  <si>
    <t xml:space="preserve">중위 60% 초과 150% 이하</t>
  </si>
  <si>
    <t xml:space="preserve">무주택, 창원시 내 본인 명의 임차, 보증금 1억 이하·월세 60만 원 이하(월세 없는 전세 불가)</t>
  </si>
  <si>
    <t xml:space="preserve">청년 세대주 가구 기준 / 직계존속 주택 임차 제외 / 생계·의료·주거급여 수급자 제외 / 타 청년주거지원 중복 불가 / 생애 1회 / 재산 기준 확인 필요</t>
  </si>
  <si>
    <t xml:space="preserve">월세 중 월 최대 20만 원, 최대 12개월</t>
  </si>
  <si>
    <t xml:space="preserve">N</t>
  </si>
  <si>
    <t xml:space="preserve">경남바로서비스(www.gyeongnam.go.kr/baro) 또는 읍면동 행정복지센터</t>
  </si>
  <si>
    <t xml:space="preserve">신청서, 개인정보 동의서, 신용정보조회서, 임대차계약서 사본, 건강보험 자격확인서·납부확인서·자격득실확인서, 주민등록등본, 가족관계증명서, 지방세 세목별 과세증명서</t>
  </si>
  <si>
    <t xml:space="preserve">https://www.changwon.go.kr/cwportal/10310/10438/10439.web?amode=view&amp;not_ancmt_mgt_no=204418&amp;section=gosi</t>
  </si>
  <si>
    <t xml:space="preserve">https://www.welfarehello.com/policy/2026-%EA%B2%BD%EB%82%A8-%EC%B0%BD%EC%9B%90-%EC%B2%AD%EB%85%84-%EC%9B%94%EC%84%B8--d47e4b75-d46b-4434-b877-f2a36bd69100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</si>
  <si>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차 수집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공고 대조 필요</t>
    </r>
    <r>
      <rPr>
        <sz val="10"/>
        <rFont val="Arial"/>
        <family val="0"/>
        <charset val="1"/>
      </rPr>
      <t xml:space="preserve">)</t>
    </r>
  </si>
  <si>
    <t xml:space="preserve">문의 055-225-4293</t>
  </si>
  <si>
    <t xml:space="preserve">CW-002</t>
  </si>
  <si>
    <t xml:space="preserve">청년 임차보증금 대출이자 지원</t>
  </si>
  <si>
    <t xml:space="preserve">소득 있는 청년: 본인 연소득 5천만 원 이하</t>
  </si>
  <si>
    <t xml:space="preserve">소득 없는 청년(학생·취업준비생): 부모 합산 연소득 1억 원 이하 / 청년 부부: 합산 연소득 1억 원 이하</t>
  </si>
  <si>
    <t xml:space="preserve">무주택, 전용 85㎡ 이하·보증금 3억 이하 주택</t>
  </si>
  <si>
    <t xml:space="preserve">주택 임차보증금 목적 대출에 한함 / 매년 신청해 선정되면 최장 6년 연속 지원</t>
  </si>
  <si>
    <t xml:space="preserve">2025.7.1~2026.6.30(1년) 납부한 임차보증금 대출이자, 대출잔액 5천만 원 한도 내 이자 3% 이내 지원</t>
  </si>
  <si>
    <t xml:space="preserve">경남바로서비스 또는 행정복지센터</t>
  </si>
  <si>
    <t xml:space="preserve">확인 필요</t>
  </si>
  <si>
    <t xml:space="preserve">https://www.newspim.com/news/view/20260818001162</t>
  </si>
  <si>
    <t xml:space="preserve">부분 확인</t>
  </si>
  <si>
    <t xml:space="preserve">문의 055-225-4293(주택정책과 청년주택정책팀). 창원시 고시공고(2026.08.10)는 게시 기간 종료로 열람 불가. 내용은 창원시 새소식 검색 결과 요약과 뉴스핌 기사로 확인</t>
  </si>
  <si>
    <t xml:space="preserve">CW-003</t>
  </si>
  <si>
    <t xml:space="preserve">창원 청년도전지원사업</t>
  </si>
  <si>
    <t xml:space="preserve">일자리</t>
  </si>
  <si>
    <t xml:space="preserve">창원시 거주</t>
  </si>
  <si>
    <t xml:space="preserve">구직 중(최근 6개월 취업·교육·훈련 이력 없음). 주 30시간 미만 아르바이트 가능</t>
  </si>
  <si>
    <t xml:space="preserve">구직단념 청년은 35~39세, 제대군인 최대 42세 / 재학생·구직급여 수급자·국민취업지원제도 참여자 제외</t>
  </si>
  <si>
    <t xml:space="preserve">단기 수당 50만 원 / 중기 최대 150만 원+인센티브 / 장기 최대 250만 원+인센티브</t>
  </si>
  <si>
    <t xml:space="preserve">고용24(www.work24.go.kr)</t>
  </si>
  <si>
    <t xml:space="preserve">신청서, 개인정보 동의서, 미취업청년 문답표, 통장사본(해당 시 등본·병적증명서 등)</t>
  </si>
  <si>
    <t xml:space="preserve">https://www.changwon.go.kr/cwportal/10310/10429/10430.web?amode=view&amp;gcode=1009&amp;idx=871817</t>
  </si>
  <si>
    <t xml:space="preserve">https://www.welfarehello.com/policy/2026-%EA%B2%BD%EB%82%A8-%EC%B0%BD%EC%9B%90-%EC%B2%AD%EB%85%84%EB%8F%84%EC%A0%84%EC%A7%80%EC%9B%90%EC%82%AC%EC%97%85--446ee6ff-1a89-498d-81bc-b9f2c44a15c6</t>
  </si>
  <si>
    <t xml:space="preserve">과정별(단기·중기·장기) 모집 기간이 다름. 문의 055-213-9077</t>
  </si>
  <si>
    <t xml:space="preserve">CW-004</t>
  </si>
  <si>
    <t xml:space="preserve">창원시 청년 면접수당</t>
  </si>
  <si>
    <t xml:space="preserve">구직 중(미취업), 공개채용 면접 응시</t>
  </si>
  <si>
    <t xml:space="preserve">제대군인은 복무기간만큼 최대 3년 연장</t>
  </si>
  <si>
    <t xml:space="preserve">회당 5만 원, 연 2회(최대 10만 원), 모바일 누비전</t>
  </si>
  <si>
    <t xml:space="preserve">Y</t>
  </si>
  <si>
    <t xml:space="preserve">창원청년정보플랫폼 온라인 신청</t>
  </si>
  <si>
    <t xml:space="preserve">https://www.changwon.go.kr/youth/05085/05105.web?amode=view&amp;idx=324</t>
  </si>
  <si>
    <t xml:space="preserve">https://www.webeconomy.co.kr/news/articleView.html?idxno=2081843</t>
  </si>
  <si>
    <t xml:space="preserve">예산 소진 시 마감 → 실제 접수 여부 확인 필요</t>
  </si>
  <si>
    <t xml:space="preserve">CW-005</t>
  </si>
  <si>
    <t xml:space="preserve">청년성장프로젝트</t>
  </si>
  <si>
    <t xml:space="preserve">구직 중 또는 학생(재학생 가능), 주 30시간 미만 알바 가능</t>
  </si>
  <si>
    <t xml:space="preserve">제대군인 최대 42세 / 실업급여 수급자·국민취업지원제도 참여자도 가능</t>
  </si>
  <si>
    <t xml:space="preserve">취업역량·직업탐색 프로그램 + 이수수당(10시간 5만 원, 15시간 8만 원)</t>
  </si>
  <si>
    <t xml:space="preserve">확인 필요(문의 055-225-4605)</t>
  </si>
  <si>
    <t xml:space="preserve">https://www.changwon.go.kr/cwportal/14971.web?amode=view&amp;idx=360</t>
  </si>
  <si>
    <t xml:space="preserve">공고 대조 완료</t>
  </si>
  <si>
    <t xml:space="preserve">분야상 '교육'으로도 매칭 가능 / 2026-10-30 창원시 청년지원 페이지(공식 출처 링크)에서 15~39세·창원 거주·미취업·재학생 가능·신청기간 2026.1~12 확인. 신청방법·제출서류는 페이지에 없음</t>
  </si>
  <si>
    <t xml:space="preserve">CW-006</t>
  </si>
  <si>
    <t xml:space="preserve">청년 일경험 지원사업(2차)</t>
  </si>
  <si>
    <t xml:space="preserve">창원시 주민등록(참여 1개월 이내 전입 가능)</t>
  </si>
  <si>
    <t xml:space="preserve">구직 중(미취업)</t>
  </si>
  <si>
    <t xml:space="preserve">참여 기업에 공고일 이후 신규 채용 / 제대군인 최대 3년 연장 / 참여기간 중 창원시 주민등록 유지(1개월 이내 미전입 시 참여 배제·수당 미지급) / 기업 대표의 배우자·직계비속 참여 제한 / 공고일 기준 참여기업 1년 이내 퇴사자 참여 제한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</si>
  <si>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개월 일경험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기업에 월 </t>
    </r>
    <r>
      <rPr>
        <sz val="10"/>
        <rFont val="Arial"/>
        <family val="0"/>
        <charset val="1"/>
      </rPr>
      <t xml:space="preserve">150</t>
    </r>
    <r>
      <rPr>
        <sz val="10"/>
        <rFont val="Noto Sans CJK SC"/>
        <family val="2"/>
      </rPr>
      <t xml:space="preserve">만 원 지원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청년 교통비 월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만 원</t>
    </r>
    <r>
      <rPr>
        <sz val="10"/>
        <rFont val="Arial"/>
        <family val="0"/>
        <charset val="1"/>
      </rPr>
      <t xml:space="preserve">, 3</t>
    </r>
    <r>
      <rPr>
        <sz val="10"/>
        <rFont val="Noto Sans CJK SC"/>
        <family val="2"/>
      </rPr>
      <t xml:space="preserve">개월 추가 근속 시 </t>
    </r>
    <r>
      <rPr>
        <sz val="10"/>
        <rFont val="Arial"/>
        <family val="0"/>
        <charset val="1"/>
      </rPr>
      <t xml:space="preserve">50</t>
    </r>
    <r>
      <rPr>
        <sz val="10"/>
        <rFont val="Noto Sans CJK SC"/>
        <family val="2"/>
      </rPr>
      <t xml:space="preserve">만 원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모집인원 청년 </t>
    </r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명 내외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기업당 최대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예산 범위 내 선착순</t>
    </r>
    <r>
      <rPr>
        <sz val="10"/>
        <rFont val="Arial"/>
        <family val="0"/>
        <charset val="1"/>
      </rPr>
      <t xml:space="preserve">)</t>
    </r>
  </si>
  <si>
    <t xml:space="preserve">창원산업진흥원 홈페이지</t>
  </si>
  <si>
    <t xml:space="preserve">https://cwip.or.kr/application/application_view.php?ab_id=312</t>
  </si>
  <si>
    <t xml:space="preserve">https://www.newspim.com/news/view/20260604001267</t>
  </si>
  <si>
    <t xml:space="preserve">창원산업진흥원 공고 제2026-68호(2026.5.27). 본문 모집기간 2026.5.27~8.21 18:00, 페이지 상단 신청기간은 2026-05-27~2026-08-05로 다름(본문 기준). 문의 055-716-7745(창업인재양성팀)</t>
  </si>
  <si>
    <t xml:space="preserve">CW-007</t>
  </si>
  <si>
    <t xml:space="preserve">청년기술창업수당</t>
  </si>
  <si>
    <t xml:space="preserve">창업</t>
  </si>
  <si>
    <t xml:space="preserve">창원시 내 사업장</t>
  </si>
  <si>
    <t xml:space="preserve">창업(개업일 2023.1.15~2025.10.5)</t>
  </si>
  <si>
    <r>
      <rPr>
        <sz val="10"/>
        <rFont val="Arial"/>
        <family val="0"/>
        <charset val="1"/>
      </rPr>
      <t xml:space="preserve">2006</t>
    </r>
    <r>
      <rPr>
        <sz val="10"/>
        <rFont val="Noto Sans CJK SC"/>
        <family val="2"/>
      </rPr>
      <t xml:space="preserve">년 이전 출생 </t>
    </r>
    <r>
      <rPr>
        <sz val="10"/>
        <rFont val="Arial"/>
        <family val="0"/>
        <charset val="1"/>
      </rPr>
      <t xml:space="preserve">/ 2025</t>
    </r>
    <r>
      <rPr>
        <sz val="10"/>
        <rFont val="Noto Sans CJK SC"/>
        <family val="2"/>
      </rPr>
      <t xml:space="preserve">년 매출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억 미만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기술창업 </t>
    </r>
    <r>
      <rPr>
        <sz val="10"/>
        <rFont val="Arial"/>
        <family val="0"/>
        <charset val="1"/>
      </rPr>
      <t xml:space="preserve">35</t>
    </r>
    <r>
      <rPr>
        <sz val="10"/>
        <rFont val="Noto Sans CJK SC"/>
        <family val="2"/>
      </rPr>
      <t xml:space="preserve">개 업종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근로자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체납자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유사사업 수혜자 제외</t>
    </r>
  </si>
  <si>
    <t xml:space="preserve">월 70만 원(3~11월), 체크카드로 창업 비용 지원 / 35명</t>
  </si>
  <si>
    <t xml:space="preserve">창원시청 홈페이지 '모집신청접수' 게시판</t>
  </si>
  <si>
    <t xml:space="preserve">https://www.changwon.go.kr/cwportal/biz/11149/11191/14482.web</t>
  </si>
  <si>
    <t xml:space="preserve">https://www.newspim.com/news/view/20260115000032</t>
  </si>
  <si>
    <t xml:space="preserve">최대 나이 기사에 없음(청년 사업이므로 39세 추정) → 공고 확인 필요</t>
  </si>
  <si>
    <t xml:space="preserve">CW-008</t>
  </si>
  <si>
    <t xml:space="preserve">청년 면접정장 무료대여</t>
  </si>
  <si>
    <t xml:space="preserve">구직 중(학교·공공기관·기업·채용박람회 주관 취업 면접 참여)</t>
  </si>
  <si>
    <t xml:space="preserve">제대군인 최대 3년 연장 / 모의면접·대학(원) 면접·체험형 인턴 등 제외</t>
  </si>
  <si>
    <t xml:space="preserve">면접 정장(셔츠·블라우스·넥타이 포함) 무료 대여, 3박 4일, 1인 연 2회</t>
  </si>
  <si>
    <t xml:space="preserve">신청서·개인정보 동의서(온라인), 비대면 자격확인 동의, 면접 확인서 또는 면접 증빙자료(해당 시 병적증명서)</t>
  </si>
  <si>
    <t xml:space="preserve">https://www.changwon.go.kr/cwportal/10310/10438/10439.web?amode=view&amp;not_ancmt_mgt_no=202949&amp;section=gosi</t>
  </si>
  <si>
    <t xml:space="preserve">https://www.welfarehello.com/policy/3e2a5a64-80bc-4f97-b716-c2e4012a520d</t>
  </si>
  <si>
    <t xml:space="preserve">문의 055-225-4571 / 2026-10-30 공식 링크로 2026년 공고 열림, 신청기간·신청방법 일치 확인</t>
  </si>
  <si>
    <t xml:space="preserve">CW-009</t>
  </si>
  <si>
    <t xml:space="preserve">청년 자격증 시험 응시료 지원</t>
  </si>
  <si>
    <t xml:space="preserve">교육</t>
  </si>
  <si>
    <t xml:space="preserve">창원시 1년 이상 주민등록</t>
  </si>
  <si>
    <t xml:space="preserve">구직 중(미취업), 사업자등록 이력 없음</t>
  </si>
  <si>
    <t xml:space="preserve">창원시 주민등록 1년 이상 / 제대군인 최대 3년 연장 / 예산 소진 시 조기 마감</t>
  </si>
  <si>
    <t xml:space="preserve">연 1회, 1개 시험 응시료 실비 최대 10만 원(국가기술자격·어학·한국사)</t>
  </si>
  <si>
    <t xml:space="preserve">창원청년정보플랫폼 온라인 신청(시험 응시 후)</t>
  </si>
  <si>
    <t xml:space="preserve">확인 필요(응시 증빙 등)</t>
  </si>
  <si>
    <t xml:space="preserve">https://www.changwon.go.kr/cwportal/gu/11101/12355/12399.web?amode=view&amp;idx=873208&amp;gcode=1417</t>
  </si>
  <si>
    <t xml:space="preserve">https://www.koreaeaglenews.com/news/articleView.html?idxno=96409</t>
  </si>
  <si>
    <r>
      <rPr>
        <sz val="10"/>
        <rFont val="Arial"/>
        <family val="0"/>
        <charset val="1"/>
      </rPr>
      <t xml:space="preserve">PRD </t>
    </r>
    <r>
      <rPr>
        <sz val="10"/>
        <rFont val="Noto Sans CJK SC"/>
        <family val="2"/>
      </rPr>
      <t xml:space="preserve">입력의 </t>
    </r>
    <r>
      <rPr>
        <sz val="10"/>
        <rFont val="Arial"/>
        <family val="0"/>
        <charset val="1"/>
      </rPr>
      <t xml:space="preserve">'1</t>
    </r>
    <r>
      <rPr>
        <sz val="10"/>
        <rFont val="Noto Sans CJK SC"/>
        <family val="2"/>
      </rPr>
      <t xml:space="preserve">년 이상 거주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여부는 판단 불가 → 확인 필요 처리</t>
    </r>
  </si>
  <si>
    <t xml:space="preserve">CW-010</t>
  </si>
  <si>
    <t xml:space="preserve">전세보증금 반환보증 보증료 지원</t>
  </si>
  <si>
    <t xml:space="preserve">청년 연소득 5천만 원 이하</t>
  </si>
  <si>
    <t xml:space="preserve">무주택, 창원시 소재 임차보증금 3억 원 이하 주거용 주택, 신청일 기준 보증 효력이 유효한 전세보증금반환보증 가입자(보증료 납부 완료, HUG·HF·SGI)</t>
  </si>
  <si>
    <t xml:space="preserve">청년 전용 사업 아님(청년 외 6천만 원, 신혼부부 7,500만 원 이하) / '청년' 나이 기준 확인 필요</t>
  </si>
  <si>
    <t xml:space="preserve">납부한 반환보증 보증료 지원(1인당 한도 확인 필요)</t>
  </si>
  <si>
    <t xml:space="preserve">경남바로서비스·정부24 또는 주택 소재지 구청 건축허가과</t>
  </si>
  <si>
    <t xml:space="preserve">신청서 및 서약서(공고문 붙임 서식). 그 밖의 서류는 공고문 확인 필요</t>
  </si>
  <si>
    <t xml:space="preserve">https://www.changwon.go.kr/cwportal/10310/10438/10439.web?amode=view&amp;not_ancmt_mgt_no=202977</t>
  </si>
  <si>
    <t xml:space="preserve">https://www.koreatimenews.com/news/article.html?no=1060690</t>
  </si>
  <si>
    <t xml:space="preserve">창원시 공고 제2026-186호(국토교통부 사업을 창원시가 시행). 신청기간 2026.2.2~예산 소진 시까지, 공고기간 2026.2.2~12.31. 문의 055-225-4195(주택정책과)</t>
  </si>
  <si>
    <t xml:space="preserve">CW-011</t>
  </si>
  <si>
    <t xml:space="preserve">대학(원)생 생활안정지원금</t>
  </si>
  <si>
    <t xml:space="preserve">창원시 전입(전입 전 1년 이상 타 시군 거주)</t>
  </si>
  <si>
    <t xml:space="preserve">학생(창원 소재 대학·대학원 재학 또는 입학예정)</t>
  </si>
  <si>
    <t xml:space="preserve">휴학·졸업유예·수료생 제외 / 동일 목적 청년지원·정착지원금 수혜자 제외 / 지급일까지 창원 주민등록 유지</t>
  </si>
  <si>
    <t xml:space="preserve">월 6만 원(연 최대 72만 원, 최대 3년 216만 원)</t>
  </si>
  <si>
    <t xml:space="preserve">읍면동 행정복지센터 방문</t>
  </si>
  <si>
    <t xml:space="preserve">신분증, 재학증명서, 통장사본</t>
  </si>
  <si>
    <t xml:space="preserve">https://www.changwon.go.kr/youth/05085/05105.web?amode=view&amp;idx=52</t>
  </si>
  <si>
    <t xml:space="preserve">https://www.welfarehello.com/policy/%EA%B2%BD%EB%82%A8-%EC%B0%BD%EC%9B%90-%EB%8C%80%ED%95%99%EC%9B%90%EC%83%9D-%EC%83%9D%ED%99%9C%EC%95%88%EC%A0%95%EC%A7%80%EC%9B%90%EA%B8%88--c8d6b657-8f7b-4218-9a7f-aa81edbe5d7e</t>
  </si>
  <si>
    <t xml:space="preserve">나이 기준 없음(학생 대상). '전입 여부'는 PRD 입력으로 판단 불가 → 확인 필요 처리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</si>
</sst>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  <charset val="1"/>
    </font>
    <font>
      <b val="true"/>
      <sz val="10"/>
      <name val="Noto Sans CJK SC"/>
      <family val="2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sz val="10"/>
      <name val="Noto Sans CJK SC"/>
      <family val="2"/>
      <charset val="1"/>
    </font>
    <font>
      <b val="true"/>
      <sz val="11"/>
      <color rgb="FF1F4E78"/>
      <name val="Noto Sans CJK SC"/>
      <family val="2"/>
      <charset val="1"/>
    </font>
    <font>
      <b val="true"/>
      <sz val="10"/>
      <name val="Arial"/>
      <family val="0"/>
      <charset val="1"/>
    </font>
    <font>
      <b val="true"/>
      <sz val="10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9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  <c r="B2" s="4" t="s">
        <v>2</v>
      </c>
    </row>
    <row r="3" customFormat="false" ht="29.25" hidden="false" customHeight="true" outlineLevel="0" collapsed="false">
      <c r="A3" s="3" t="s">
        <v>3</v>
      </c>
      <c r="B3" s="5" t="s">
        <v>4</v>
      </c>
    </row>
    <row r="4" customFormat="false" ht="29.25" hidden="false" customHeight="true" outlineLevel="0" collapsed="false">
      <c r="A4" s="3" t="s">
        <v>5</v>
      </c>
      <c r="B4" s="5" t="s">
        <v>6</v>
      </c>
    </row>
    <row r="5" customFormat="false" ht="15" hidden="false" customHeight="true" outlineLevel="0" collapsed="false">
      <c r="A5" s="3"/>
    </row>
    <row r="6" customFormat="false" ht="15" hidden="false" customHeight="true" outlineLevel="0" collapsed="false">
      <c r="A6" s="6" t="s">
        <v>7</v>
      </c>
    </row>
    <row r="7" customFormat="false" ht="15" hidden="false" customHeight="true" outlineLevel="0" collapsed="false">
      <c r="A7" s="7" t="s">
        <v>8</v>
      </c>
      <c r="B7" s="4" t="s">
        <v>9</v>
      </c>
    </row>
    <row r="8" customFormat="false" ht="15" hidden="false" customHeight="true" outlineLevel="0" collapsed="false">
      <c r="A8" s="3" t="s">
        <v>10</v>
      </c>
      <c r="B8" s="5" t="s">
        <v>11</v>
      </c>
    </row>
    <row r="9" customFormat="false" ht="15" hidden="false" customHeight="true" outlineLevel="0" collapsed="false">
      <c r="A9" s="3"/>
    </row>
    <row r="10" customFormat="false" ht="16.5" hidden="false" customHeight="true" outlineLevel="0" collapsed="false">
      <c r="A10" s="6" t="s">
        <v>12</v>
      </c>
    </row>
    <row r="11" customFormat="false" ht="15" hidden="false" customHeight="true" outlineLevel="0" collapsed="false">
      <c r="A11" s="3" t="s">
        <v>13</v>
      </c>
      <c r="B11" s="5" t="s">
        <v>14</v>
      </c>
    </row>
    <row r="12" customFormat="false" ht="15" hidden="false" customHeight="true" outlineLevel="0" collapsed="false">
      <c r="A12" s="3" t="s">
        <v>15</v>
      </c>
      <c r="B12" s="4" t="s">
        <v>16</v>
      </c>
    </row>
    <row r="13" customFormat="false" ht="15" hidden="false" customHeight="true" outlineLevel="0" collapsed="false">
      <c r="A13" s="3" t="s">
        <v>17</v>
      </c>
      <c r="B13" s="4" t="s">
        <v>18</v>
      </c>
    </row>
    <row r="14" customFormat="false" ht="15" hidden="false" customHeight="true" outlineLevel="0" collapsed="false">
      <c r="A14" s="3" t="s">
        <v>19</v>
      </c>
      <c r="B14" s="4" t="s">
        <v>20</v>
      </c>
    </row>
    <row r="15" customFormat="false" ht="15" hidden="false" customHeight="true" outlineLevel="0" collapsed="false">
      <c r="A15" s="3" t="s">
        <v>21</v>
      </c>
      <c r="B15" s="5" t="s">
        <v>22</v>
      </c>
    </row>
    <row r="16" customFormat="false" ht="15" hidden="false" customHeight="true" outlineLevel="0" collapsed="false">
      <c r="A16" s="3" t="s">
        <v>23</v>
      </c>
      <c r="B16" s="5" t="s">
        <v>24</v>
      </c>
    </row>
    <row r="17" customFormat="false" ht="15" hidden="false" customHeight="true" outlineLevel="0" collapsed="false">
      <c r="A17" s="3" t="s">
        <v>25</v>
      </c>
      <c r="B17" s="5" t="s">
        <v>26</v>
      </c>
    </row>
    <row r="18" customFormat="false" ht="15" hidden="false" customHeight="true" outlineLevel="0" collapsed="false">
      <c r="A18" s="3" t="s">
        <v>27</v>
      </c>
      <c r="B18" s="5" t="s">
        <v>28</v>
      </c>
    </row>
    <row r="19" customFormat="false" ht="15" hidden="false" customHeight="true" outlineLevel="0" collapsed="false">
      <c r="A19" s="3" t="s">
        <v>29</v>
      </c>
      <c r="B19" s="5" t="s">
        <v>30</v>
      </c>
    </row>
    <row r="20" customFormat="false" ht="15" hidden="false" customHeight="true" outlineLevel="0" collapsed="false">
      <c r="A20" s="3"/>
    </row>
    <row r="21" customFormat="false" ht="15" hidden="false" customHeight="true" outlineLevel="0" collapsed="false">
      <c r="A21" s="6" t="s">
        <v>31</v>
      </c>
    </row>
    <row r="22" customFormat="false" ht="29.25" hidden="false" customHeight="true" outlineLevel="0" collapsed="false">
      <c r="A22" s="8" t="s">
        <v>32</v>
      </c>
      <c r="B22" s="4" t="s">
        <v>33</v>
      </c>
    </row>
    <row r="23" customFormat="false" ht="29.25" hidden="false" customHeight="true" outlineLevel="0" collapsed="false">
      <c r="A23" s="8" t="s">
        <v>34</v>
      </c>
      <c r="B23" s="5" t="s">
        <v>35</v>
      </c>
    </row>
    <row r="24" customFormat="false" ht="15" hidden="false" customHeight="true" outlineLevel="0" collapsed="false">
      <c r="A24" s="8" t="s">
        <v>36</v>
      </c>
      <c r="B24" s="5" t="s">
        <v>37</v>
      </c>
    </row>
    <row r="25" customFormat="false" ht="15" hidden="false" customHeight="true" outlineLevel="0" collapsed="false">
      <c r="A25" s="8" t="s">
        <v>38</v>
      </c>
      <c r="B25" s="4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6"/>
    <col collapsed="false" customWidth="true" hidden="false" outlineLevel="0" max="3" min="3" style="1" width="14"/>
    <col collapsed="false" customWidth="true" hidden="false" outlineLevel="0" max="4" min="4" style="1" width="10"/>
    <col collapsed="false" customWidth="true" hidden="false" outlineLevel="0" max="6" min="5" style="1" width="8"/>
    <col collapsed="false" customWidth="true" hidden="false" outlineLevel="0" max="7" min="7" style="1" width="18"/>
    <col collapsed="false" customWidth="true" hidden="false" outlineLevel="0" max="8" min="8" style="1" width="22"/>
    <col collapsed="false" customWidth="true" hidden="false" outlineLevel="0" max="9" min="9" style="1" width="16"/>
    <col collapsed="false" customWidth="true" hidden="false" outlineLevel="0" max="10" min="10" style="1" width="22"/>
    <col collapsed="false" customWidth="true" hidden="false" outlineLevel="0" max="11" min="11" style="1" width="24"/>
    <col collapsed="false" customWidth="true" hidden="false" outlineLevel="0" max="12" min="12" style="1" width="36"/>
    <col collapsed="false" customWidth="true" hidden="false" outlineLevel="0" max="13" min="13" style="1" width="34"/>
    <col collapsed="false" customWidth="true" hidden="false" outlineLevel="0" max="15" min="14" style="1" width="11"/>
    <col collapsed="false" customWidth="true" hidden="false" outlineLevel="0" max="16" min="16" style="1" width="8"/>
    <col collapsed="false" customWidth="true" hidden="false" outlineLevel="0" max="17" min="17" style="1" width="12"/>
    <col collapsed="false" customWidth="true" hidden="false" outlineLevel="0" max="18" min="18" style="1" width="26"/>
    <col collapsed="false" customWidth="true" hidden="false" outlineLevel="0" max="19" min="19" style="1" width="36"/>
    <col collapsed="false" customWidth="true" hidden="false" outlineLevel="0" max="21" min="20" style="1" width="34"/>
    <col collapsed="false" customWidth="true" hidden="false" outlineLevel="0" max="22" min="22" style="1" width="11"/>
    <col collapsed="false" customWidth="true" hidden="false" outlineLevel="0" max="23" min="23" style="1" width="16"/>
    <col collapsed="false" customWidth="true" hidden="false" outlineLevel="0" max="24" min="24" style="1" width="34"/>
  </cols>
  <sheetData>
    <row r="1" customFormat="false" ht="31.5" hidden="false" customHeight="true" outlineLevel="0" collapsed="false">
      <c r="A1" s="9" t="s">
        <v>40</v>
      </c>
      <c r="B1" s="10" t="s">
        <v>41</v>
      </c>
      <c r="C1" s="10" t="s">
        <v>42</v>
      </c>
      <c r="D1" s="10" t="s">
        <v>43</v>
      </c>
      <c r="E1" s="10" t="s">
        <v>44</v>
      </c>
      <c r="F1" s="10" t="s">
        <v>45</v>
      </c>
      <c r="G1" s="10" t="s">
        <v>15</v>
      </c>
      <c r="H1" s="10" t="s">
        <v>17</v>
      </c>
      <c r="I1" s="10" t="s">
        <v>46</v>
      </c>
      <c r="J1" s="10" t="s">
        <v>19</v>
      </c>
      <c r="K1" s="10" t="s">
        <v>47</v>
      </c>
      <c r="L1" s="10" t="s">
        <v>48</v>
      </c>
      <c r="M1" s="10" t="s">
        <v>49</v>
      </c>
      <c r="N1" s="10" t="s">
        <v>50</v>
      </c>
      <c r="O1" s="10" t="s">
        <v>51</v>
      </c>
      <c r="P1" s="10" t="s">
        <v>52</v>
      </c>
      <c r="Q1" s="10" t="s">
        <v>10</v>
      </c>
      <c r="R1" s="10" t="s">
        <v>53</v>
      </c>
      <c r="S1" s="10" t="s">
        <v>54</v>
      </c>
      <c r="T1" s="10" t="s">
        <v>25</v>
      </c>
      <c r="U1" s="10" t="s">
        <v>27</v>
      </c>
      <c r="V1" s="10" t="s">
        <v>29</v>
      </c>
      <c r="W1" s="10" t="s">
        <v>55</v>
      </c>
      <c r="X1" s="10" t="s">
        <v>56</v>
      </c>
    </row>
    <row r="2" customFormat="false" ht="68.25" hidden="false" customHeight="true" outlineLevel="0" collapsed="false">
      <c r="A2" s="11" t="s">
        <v>57</v>
      </c>
      <c r="B2" s="12" t="s">
        <v>58</v>
      </c>
      <c r="C2" s="12" t="s">
        <v>59</v>
      </c>
      <c r="D2" s="12" t="s">
        <v>60</v>
      </c>
      <c r="E2" s="11" t="n">
        <v>19</v>
      </c>
      <c r="F2" s="11" t="n">
        <v>39</v>
      </c>
      <c r="G2" s="12" t="s">
        <v>61</v>
      </c>
      <c r="H2" s="12" t="s">
        <v>62</v>
      </c>
      <c r="I2" s="11" t="s">
        <v>63</v>
      </c>
      <c r="J2" s="12" t="s">
        <v>64</v>
      </c>
      <c r="K2" s="12" t="s">
        <v>65</v>
      </c>
      <c r="L2" s="13" t="s">
        <v>66</v>
      </c>
      <c r="M2" s="12" t="s">
        <v>67</v>
      </c>
      <c r="N2" s="14" t="n">
        <v>46097</v>
      </c>
      <c r="O2" s="14" t="n">
        <v>46108</v>
      </c>
      <c r="P2" s="11" t="s">
        <v>68</v>
      </c>
      <c r="Q2" s="15" t="str">
        <f aca="true">IF(P2="Y","모집중(상시)",IF(O2="","확인 필요",IF(O2&gt;=TODAY(),"모집중","마감")))</f>
        <v>마감</v>
      </c>
      <c r="R2" s="12" t="s">
        <v>69</v>
      </c>
      <c r="S2" s="12" t="s">
        <v>70</v>
      </c>
      <c r="T2" s="11" t="s">
        <v>71</v>
      </c>
      <c r="U2" s="11" t="s">
        <v>72</v>
      </c>
      <c r="V2" s="14" t="n">
        <v>46325</v>
      </c>
      <c r="W2" s="11" t="s">
        <v>73</v>
      </c>
      <c r="X2" s="12" t="s">
        <v>74</v>
      </c>
    </row>
    <row r="3" customFormat="false" ht="29.25" hidden="false" customHeight="true" outlineLevel="0" collapsed="false">
      <c r="A3" s="11" t="s">
        <v>75</v>
      </c>
      <c r="B3" s="12" t="s">
        <v>76</v>
      </c>
      <c r="C3" s="12" t="s">
        <v>59</v>
      </c>
      <c r="D3" s="12" t="s">
        <v>60</v>
      </c>
      <c r="E3" s="11" t="n">
        <v>19</v>
      </c>
      <c r="F3" s="11" t="n">
        <v>39</v>
      </c>
      <c r="G3" s="12" t="s">
        <v>61</v>
      </c>
      <c r="H3" s="12" t="s">
        <v>62</v>
      </c>
      <c r="I3" s="12" t="s">
        <v>77</v>
      </c>
      <c r="J3" s="12" t="s">
        <v>78</v>
      </c>
      <c r="K3" s="12" t="s">
        <v>79</v>
      </c>
      <c r="L3" s="12" t="s">
        <v>80</v>
      </c>
      <c r="M3" s="12" t="s">
        <v>81</v>
      </c>
      <c r="N3" s="14" t="n">
        <v>46252</v>
      </c>
      <c r="O3" s="14" t="n">
        <v>46276</v>
      </c>
      <c r="P3" s="11" t="s">
        <v>68</v>
      </c>
      <c r="Q3" s="15" t="str">
        <f aca="true">IF(P3="Y","모집중(상시)",IF(O3="","확인 필요",IF(O3&gt;=TODAY(),"모집중","마감")))</f>
        <v>마감</v>
      </c>
      <c r="R3" s="12" t="s">
        <v>82</v>
      </c>
      <c r="S3" s="13" t="s">
        <v>83</v>
      </c>
      <c r="T3" s="11"/>
      <c r="U3" s="11" t="s">
        <v>84</v>
      </c>
      <c r="V3" s="14" t="n">
        <v>46325</v>
      </c>
      <c r="W3" s="12" t="s">
        <v>85</v>
      </c>
      <c r="X3" s="12" t="s">
        <v>86</v>
      </c>
    </row>
    <row r="4" customFormat="false" ht="79.5" hidden="false" customHeight="true" outlineLevel="0" collapsed="false">
      <c r="A4" s="11" t="s">
        <v>87</v>
      </c>
      <c r="B4" s="12" t="s">
        <v>88</v>
      </c>
      <c r="C4" s="12" t="s">
        <v>59</v>
      </c>
      <c r="D4" s="12" t="s">
        <v>89</v>
      </c>
      <c r="E4" s="11" t="n">
        <v>18</v>
      </c>
      <c r="F4" s="11" t="n">
        <v>34</v>
      </c>
      <c r="G4" s="12" t="s">
        <v>90</v>
      </c>
      <c r="H4" s="12" t="s">
        <v>91</v>
      </c>
      <c r="I4" s="11" t="s">
        <v>63</v>
      </c>
      <c r="J4" s="11" t="s">
        <v>63</v>
      </c>
      <c r="K4" s="11" t="s">
        <v>63</v>
      </c>
      <c r="L4" s="12" t="s">
        <v>92</v>
      </c>
      <c r="M4" s="12" t="s">
        <v>93</v>
      </c>
      <c r="N4" s="14" t="n">
        <v>46048</v>
      </c>
      <c r="O4" s="14" t="n">
        <v>46295</v>
      </c>
      <c r="P4" s="11" t="s">
        <v>68</v>
      </c>
      <c r="Q4" s="15" t="str">
        <f aca="true">IF(P4="Y","모집중(상시)",IF(O4="","확인 필요",IF(O4&gt;=TODAY(),"모집중","마감")))</f>
        <v>마감</v>
      </c>
      <c r="R4" s="12" t="s">
        <v>94</v>
      </c>
      <c r="S4" s="12" t="s">
        <v>95</v>
      </c>
      <c r="T4" s="11" t="s">
        <v>96</v>
      </c>
      <c r="U4" s="11" t="s">
        <v>97</v>
      </c>
      <c r="V4" s="14" t="n">
        <v>46325</v>
      </c>
      <c r="W4" s="11" t="s">
        <v>73</v>
      </c>
      <c r="X4" s="12" t="s">
        <v>98</v>
      </c>
    </row>
    <row r="5" customFormat="false" ht="29.25" hidden="false" customHeight="true" outlineLevel="0" collapsed="false">
      <c r="A5" s="11" t="s">
        <v>99</v>
      </c>
      <c r="B5" s="12" t="s">
        <v>100</v>
      </c>
      <c r="C5" s="12" t="s">
        <v>59</v>
      </c>
      <c r="D5" s="12" t="s">
        <v>89</v>
      </c>
      <c r="E5" s="11" t="n">
        <v>19</v>
      </c>
      <c r="F5" s="11" t="n">
        <v>39</v>
      </c>
      <c r="G5" s="12" t="s">
        <v>61</v>
      </c>
      <c r="H5" s="12" t="s">
        <v>101</v>
      </c>
      <c r="I5" s="13" t="s">
        <v>83</v>
      </c>
      <c r="J5" s="11" t="s">
        <v>63</v>
      </c>
      <c r="K5" s="11" t="s">
        <v>63</v>
      </c>
      <c r="L5" s="12" t="s">
        <v>102</v>
      </c>
      <c r="M5" s="12" t="s">
        <v>103</v>
      </c>
      <c r="N5" s="14" t="n">
        <v>46076</v>
      </c>
      <c r="O5" s="11"/>
      <c r="P5" s="11" t="s">
        <v>104</v>
      </c>
      <c r="Q5" s="15" t="str">
        <f aca="true">IF(P5="Y","모집중(상시)",IF(O5="","확인 필요",IF(O5&gt;=TODAY(),"모집중","마감")))</f>
        <v>모집중(상시)</v>
      </c>
      <c r="R5" s="12" t="s">
        <v>105</v>
      </c>
      <c r="S5" s="13" t="s">
        <v>83</v>
      </c>
      <c r="T5" s="11" t="s">
        <v>106</v>
      </c>
      <c r="U5" s="11" t="s">
        <v>107</v>
      </c>
      <c r="V5" s="14" t="n">
        <v>46325</v>
      </c>
      <c r="W5" s="12" t="s">
        <v>85</v>
      </c>
      <c r="X5" s="13" t="s">
        <v>108</v>
      </c>
    </row>
    <row r="6" customFormat="false" ht="43.5" hidden="false" customHeight="true" outlineLevel="0" collapsed="false">
      <c r="A6" s="11" t="s">
        <v>109</v>
      </c>
      <c r="B6" s="12" t="s">
        <v>110</v>
      </c>
      <c r="C6" s="12" t="s">
        <v>59</v>
      </c>
      <c r="D6" s="12" t="s">
        <v>89</v>
      </c>
      <c r="E6" s="11" t="n">
        <v>15</v>
      </c>
      <c r="F6" s="11" t="n">
        <v>39</v>
      </c>
      <c r="G6" s="12" t="s">
        <v>90</v>
      </c>
      <c r="H6" s="12" t="s">
        <v>111</v>
      </c>
      <c r="I6" s="11" t="s">
        <v>63</v>
      </c>
      <c r="J6" s="11" t="s">
        <v>63</v>
      </c>
      <c r="K6" s="11" t="s">
        <v>63</v>
      </c>
      <c r="L6" s="12" t="s">
        <v>112</v>
      </c>
      <c r="M6" s="12" t="s">
        <v>113</v>
      </c>
      <c r="N6" s="14" t="n">
        <v>46023</v>
      </c>
      <c r="O6" s="14" t="n">
        <v>46387</v>
      </c>
      <c r="P6" s="11" t="s">
        <v>68</v>
      </c>
      <c r="Q6" s="15" t="str">
        <f aca="true">IF(P6="Y","모집중(상시)",IF(O6="","확인 필요",IF(O6&gt;=TODAY(),"모집중","마감")))</f>
        <v>모집중</v>
      </c>
      <c r="R6" s="13" t="s">
        <v>114</v>
      </c>
      <c r="S6" s="13" t="s">
        <v>83</v>
      </c>
      <c r="T6" s="11" t="s">
        <v>115</v>
      </c>
      <c r="U6" s="11"/>
      <c r="V6" s="14" t="n">
        <v>46325</v>
      </c>
      <c r="W6" s="16" t="s">
        <v>116</v>
      </c>
      <c r="X6" s="12" t="s">
        <v>117</v>
      </c>
    </row>
    <row r="7" customFormat="false" ht="43.5" hidden="false" customHeight="true" outlineLevel="0" collapsed="false">
      <c r="A7" s="11" t="s">
        <v>118</v>
      </c>
      <c r="B7" s="12" t="s">
        <v>119</v>
      </c>
      <c r="C7" s="12" t="s">
        <v>59</v>
      </c>
      <c r="D7" s="12" t="s">
        <v>89</v>
      </c>
      <c r="E7" s="12" t="n">
        <v>18</v>
      </c>
      <c r="F7" s="12" t="n">
        <v>39</v>
      </c>
      <c r="G7" s="12" t="s">
        <v>120</v>
      </c>
      <c r="H7" s="12" t="s">
        <v>121</v>
      </c>
      <c r="I7" s="11" t="s">
        <v>63</v>
      </c>
      <c r="J7" s="11" t="s">
        <v>63</v>
      </c>
      <c r="K7" s="11" t="s">
        <v>63</v>
      </c>
      <c r="L7" s="12" t="s">
        <v>122</v>
      </c>
      <c r="M7" s="11" t="s">
        <v>123</v>
      </c>
      <c r="N7" s="14" t="n">
        <v>46169</v>
      </c>
      <c r="O7" s="14" t="n">
        <v>46255</v>
      </c>
      <c r="P7" s="11" t="s">
        <v>68</v>
      </c>
      <c r="Q7" s="15" t="str">
        <f aca="true">IF(P7="Y","모집중(상시)",IF(O7="","확인 필요",IF(O7&gt;=TODAY(),"모집중","마감")))</f>
        <v>마감</v>
      </c>
      <c r="R7" s="12" t="s">
        <v>124</v>
      </c>
      <c r="S7" s="13" t="s">
        <v>83</v>
      </c>
      <c r="T7" s="11" t="s">
        <v>125</v>
      </c>
      <c r="U7" s="11" t="s">
        <v>126</v>
      </c>
      <c r="V7" s="14" t="n">
        <v>46325</v>
      </c>
      <c r="W7" s="12" t="s">
        <v>116</v>
      </c>
      <c r="X7" s="13" t="s">
        <v>127</v>
      </c>
    </row>
    <row r="8" customFormat="false" ht="43.5" hidden="false" customHeight="true" outlineLevel="0" collapsed="false">
      <c r="A8" s="11" t="s">
        <v>128</v>
      </c>
      <c r="B8" s="12" t="s">
        <v>129</v>
      </c>
      <c r="C8" s="12" t="s">
        <v>59</v>
      </c>
      <c r="D8" s="12" t="s">
        <v>130</v>
      </c>
      <c r="E8" s="13"/>
      <c r="F8" s="13"/>
      <c r="G8" s="12" t="s">
        <v>131</v>
      </c>
      <c r="H8" s="12" t="s">
        <v>132</v>
      </c>
      <c r="I8" s="11" t="s">
        <v>63</v>
      </c>
      <c r="J8" s="11" t="s">
        <v>63</v>
      </c>
      <c r="K8" s="11" t="s">
        <v>63</v>
      </c>
      <c r="L8" s="11" t="s">
        <v>133</v>
      </c>
      <c r="M8" s="12" t="s">
        <v>134</v>
      </c>
      <c r="N8" s="14" t="n">
        <v>46041</v>
      </c>
      <c r="O8" s="14" t="n">
        <v>46062</v>
      </c>
      <c r="P8" s="11" t="s">
        <v>68</v>
      </c>
      <c r="Q8" s="15" t="str">
        <f aca="true">IF(P8="Y","모집중(상시)",IF(O8="","확인 필요",IF(O8&gt;=TODAY(),"모집중","마감")))</f>
        <v>마감</v>
      </c>
      <c r="R8" s="12" t="s">
        <v>135</v>
      </c>
      <c r="S8" s="13" t="s">
        <v>83</v>
      </c>
      <c r="T8" s="11" t="s">
        <v>136</v>
      </c>
      <c r="U8" s="11" t="s">
        <v>137</v>
      </c>
      <c r="V8" s="14" t="n">
        <v>46325</v>
      </c>
      <c r="W8" s="11" t="s">
        <v>73</v>
      </c>
      <c r="X8" s="13" t="s">
        <v>138</v>
      </c>
    </row>
    <row r="9" customFormat="false" ht="45.75" hidden="false" customHeight="true" outlineLevel="0" collapsed="false">
      <c r="A9" s="11" t="s">
        <v>139</v>
      </c>
      <c r="B9" s="12" t="s">
        <v>140</v>
      </c>
      <c r="C9" s="12" t="s">
        <v>59</v>
      </c>
      <c r="D9" s="12" t="s">
        <v>89</v>
      </c>
      <c r="E9" s="11" t="n">
        <v>19</v>
      </c>
      <c r="F9" s="11" t="n">
        <v>39</v>
      </c>
      <c r="G9" s="12" t="s">
        <v>61</v>
      </c>
      <c r="H9" s="12" t="s">
        <v>141</v>
      </c>
      <c r="I9" s="11" t="s">
        <v>63</v>
      </c>
      <c r="J9" s="11" t="s">
        <v>63</v>
      </c>
      <c r="K9" s="11" t="s">
        <v>63</v>
      </c>
      <c r="L9" s="12" t="s">
        <v>142</v>
      </c>
      <c r="M9" s="12" t="s">
        <v>143</v>
      </c>
      <c r="N9" s="14" t="n">
        <v>46051</v>
      </c>
      <c r="O9" s="14" t="n">
        <v>46387</v>
      </c>
      <c r="P9" s="11" t="s">
        <v>68</v>
      </c>
      <c r="Q9" s="15" t="str">
        <f aca="true">IF(P9="Y","모집중(상시)",IF(O9="","확인 필요",IF(O9&gt;=TODAY(),"모집중","마감")))</f>
        <v>모집중</v>
      </c>
      <c r="R9" s="12" t="s">
        <v>105</v>
      </c>
      <c r="S9" s="12" t="s">
        <v>144</v>
      </c>
      <c r="T9" s="11" t="s">
        <v>145</v>
      </c>
      <c r="U9" s="11" t="s">
        <v>146</v>
      </c>
      <c r="V9" s="14" t="n">
        <v>46325</v>
      </c>
      <c r="W9" s="12" t="s">
        <v>116</v>
      </c>
      <c r="X9" s="12" t="s">
        <v>147</v>
      </c>
    </row>
    <row r="10" customFormat="false" ht="34.5" hidden="false" customHeight="true" outlineLevel="0" collapsed="false">
      <c r="A10" s="11" t="s">
        <v>148</v>
      </c>
      <c r="B10" s="12" t="s">
        <v>149</v>
      </c>
      <c r="C10" s="12" t="s">
        <v>59</v>
      </c>
      <c r="D10" s="12" t="s">
        <v>150</v>
      </c>
      <c r="E10" s="11" t="n">
        <v>19</v>
      </c>
      <c r="F10" s="11" t="n">
        <v>39</v>
      </c>
      <c r="G10" s="12" t="s">
        <v>151</v>
      </c>
      <c r="H10" s="12" t="s">
        <v>152</v>
      </c>
      <c r="I10" s="13" t="s">
        <v>83</v>
      </c>
      <c r="J10" s="11" t="s">
        <v>63</v>
      </c>
      <c r="K10" s="11" t="s">
        <v>63</v>
      </c>
      <c r="L10" s="12" t="s">
        <v>153</v>
      </c>
      <c r="M10" s="12" t="s">
        <v>154</v>
      </c>
      <c r="N10" s="14" t="n">
        <v>46079</v>
      </c>
      <c r="O10" s="14" t="n">
        <v>46356</v>
      </c>
      <c r="P10" s="11" t="s">
        <v>68</v>
      </c>
      <c r="Q10" s="15" t="str">
        <f aca="true">IF(P10="Y","모집중(상시)",IF(O10="","확인 필요",IF(O10&gt;=TODAY(),"모집중","마감")))</f>
        <v>모집중</v>
      </c>
      <c r="R10" s="12" t="s">
        <v>155</v>
      </c>
      <c r="S10" s="13" t="s">
        <v>156</v>
      </c>
      <c r="T10" s="11" t="s">
        <v>157</v>
      </c>
      <c r="U10" s="11" t="s">
        <v>158</v>
      </c>
      <c r="V10" s="14" t="n">
        <v>46325</v>
      </c>
      <c r="W10" s="11" t="s">
        <v>73</v>
      </c>
      <c r="X10" s="17" t="s">
        <v>159</v>
      </c>
    </row>
    <row r="11" customFormat="false" ht="29.25" hidden="false" customHeight="true" outlineLevel="0" collapsed="false">
      <c r="A11" s="11" t="s">
        <v>160</v>
      </c>
      <c r="B11" s="12" t="s">
        <v>161</v>
      </c>
      <c r="C11" s="12" t="s">
        <v>59</v>
      </c>
      <c r="D11" s="12" t="s">
        <v>60</v>
      </c>
      <c r="E11" s="17"/>
      <c r="F11" s="17"/>
      <c r="G11" s="12" t="s">
        <v>61</v>
      </c>
      <c r="H11" s="12" t="s">
        <v>62</v>
      </c>
      <c r="I11" s="12" t="s">
        <v>162</v>
      </c>
      <c r="J11" s="11" t="s">
        <v>63</v>
      </c>
      <c r="K11" s="12" t="s">
        <v>163</v>
      </c>
      <c r="L11" s="13" t="s">
        <v>164</v>
      </c>
      <c r="M11" s="13" t="s">
        <v>165</v>
      </c>
      <c r="N11" s="14" t="n">
        <v>46055</v>
      </c>
      <c r="O11" s="11"/>
      <c r="P11" s="11" t="s">
        <v>104</v>
      </c>
      <c r="Q11" s="15" t="str">
        <f aca="true">IF(P11="Y","모집중(상시)",IF(O11="","확인 필요",IF(O11&gt;=TODAY(),"모집중","마감")))</f>
        <v>모집중(상시)</v>
      </c>
      <c r="R11" s="12" t="s">
        <v>166</v>
      </c>
      <c r="S11" s="13" t="s">
        <v>167</v>
      </c>
      <c r="T11" s="11" t="s">
        <v>168</v>
      </c>
      <c r="U11" s="11" t="s">
        <v>169</v>
      </c>
      <c r="V11" s="14" t="n">
        <v>46325</v>
      </c>
      <c r="W11" s="12" t="s">
        <v>116</v>
      </c>
      <c r="X11" s="13" t="s">
        <v>170</v>
      </c>
    </row>
    <row r="12" customFormat="false" ht="90.75" hidden="false" customHeight="true" outlineLevel="0" collapsed="false">
      <c r="A12" s="11" t="s">
        <v>171</v>
      </c>
      <c r="B12" s="12" t="s">
        <v>172</v>
      </c>
      <c r="C12" s="12" t="s">
        <v>59</v>
      </c>
      <c r="D12" s="12" t="s">
        <v>150</v>
      </c>
      <c r="E12" s="17"/>
      <c r="F12" s="17"/>
      <c r="G12" s="12" t="s">
        <v>173</v>
      </c>
      <c r="H12" s="12" t="s">
        <v>174</v>
      </c>
      <c r="I12" s="11" t="s">
        <v>63</v>
      </c>
      <c r="J12" s="11" t="s">
        <v>63</v>
      </c>
      <c r="K12" s="11" t="s">
        <v>63</v>
      </c>
      <c r="L12" s="12" t="s">
        <v>175</v>
      </c>
      <c r="M12" s="12" t="s">
        <v>176</v>
      </c>
      <c r="N12" s="14" t="n">
        <v>45292</v>
      </c>
      <c r="O12" s="14" t="n">
        <v>46387</v>
      </c>
      <c r="P12" s="11" t="s">
        <v>68</v>
      </c>
      <c r="Q12" s="15" t="str">
        <f aca="true">IF(P12="Y","모집중(상시)",IF(O12="","확인 필요",IF(O12&gt;=TODAY(),"모집중","마감")))</f>
        <v>모집중</v>
      </c>
      <c r="R12" s="12" t="s">
        <v>177</v>
      </c>
      <c r="S12" s="12" t="s">
        <v>178</v>
      </c>
      <c r="T12" s="11" t="s">
        <v>179</v>
      </c>
      <c r="U12" s="11" t="s">
        <v>180</v>
      </c>
      <c r="V12" s="14" t="n">
        <v>46325</v>
      </c>
      <c r="W12" s="11" t="s">
        <v>73</v>
      </c>
      <c r="X12" s="13" t="s">
        <v>181</v>
      </c>
    </row>
  </sheetData>
  <autoFilter ref="A1:X12"/>
  <conditionalFormatting sqref="Q2:Q200">
    <cfRule type="expression" priority="2" aboveAverage="0" equalAverage="0" bottom="0" percent="0" rank="0" text="" dxfId="8">
      <formula>Q2="마감"</formula>
    </cfRule>
    <cfRule type="expression" priority="3" aboveAverage="0" equalAverage="0" bottom="0" percent="0" rank="0" text="" dxfId="9">
      <formula>LEFT(Q2,3)="모집중"</formula>
    </cfRule>
  </conditionalFormatting>
  <dataValidations count="3">
    <dataValidation allowBlank="true" errorStyle="stop" operator="between" showDropDown="false" showErrorMessage="false" showInputMessage="false" sqref="D2:D200" type="list">
      <formula1>"주거,일자리,창업,교통,교육"</formula1>
      <formula2>0</formula2>
    </dataValidation>
    <dataValidation allowBlank="true" errorStyle="stop" operator="between" showDropDown="false" showErrorMessage="false" showInputMessage="false" sqref="P2:P200" type="list">
      <formula1>"Y,N"</formula1>
      <formula2>0</formula2>
    </dataValidation>
    <dataValidation allowBlank="true" errorStyle="stop" operator="between" showDropDown="false" showErrorMessage="false" showInputMessage="false" sqref="W2:W200" type="list">
      <formula1>"1차 수집(공고 대조 필요),부분 확인,공고 대조 완료,사용 보류"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2026-10-30T05:27:07Z</dcterms:created>
  <dc:creator>openpyxl</dc:creator>
  <dc:description/>
  <dc:language>en-US</dc:language>
  <cp:lastModifiedBy/>
  <dcterms:modified xsi:type="dcterms:W3CDTF">2026-10-30T06:13:55Z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